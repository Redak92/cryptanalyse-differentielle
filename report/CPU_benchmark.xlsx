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95AE4ADC-4A82-4FB2-A784-C31DDA665261}" xr6:coauthVersionLast="47" xr6:coauthVersionMax="47" xr10:uidLastSave="{00000000-0000-0000-0000-000000000000}"/>
  <bookViews>
    <workbookView xWindow="-120" yWindow="-120" windowWidth="29040" windowHeight="15720" xr2:uid="{F701CB8B-5441-4FEB-9236-83CE3732F4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<sst xmlns="http://schemas.openxmlformats.org/spreadsheetml/2006/main" count="111" uniqueCount="73">
  <si>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Écart-type</t>
  </si>
  <si>
    <t>Complexité</t>
  </si>
  <si>
    <t>Algorithme</t>
  </si>
  <si>
    <t>Fondamental</t>
  </si>
  <si>
    <t>Naïf optimisé</t>
  </si>
  <si>
    <t>O(2^2n)</t>
  </si>
  <si>
    <t>Naïf / Exhaustif</t>
  </si>
  <si>
    <t>O(2^n * p^-1)</t>
  </si>
  <si>
    <t>O(2^(n/2) * p^-1)</t>
  </si>
  <si>
    <t>Accélération</t>
  </si>
  <si>
    <t>Médiane (s)</t>
  </si>
  <si>
    <t>Moyenne (s)</t>
  </si>
  <si>
    <t>Référence (1x)</t>
  </si>
  <si>
    <t>-</t>
  </si>
  <si>
    <t>Min-max (s)</t>
  </si>
  <si>
    <t>Performances de recherche différentielle (Cible : SPN 16 bits, 3 tours, p = 2^-7)</t>
  </si>
  <si>
    <t>Performances de recherche différentielle (Cible : Feistel 12 bits, 3 tours, p = 2^-7)</t>
  </si>
  <si>
    <t>0.070762</t>
  </si>
  <si>
    <t>0.070541</t>
  </si>
  <si>
    <t>0.002947</t>
  </si>
  <si>
    <t>[0.066070 - 0.079591]</t>
  </si>
  <si>
    <t>0.159261</t>
  </si>
  <si>
    <t>0.159081</t>
  </si>
  <si>
    <t>0.003010</t>
  </si>
  <si>
    <t>[0.156415 - 0.173299]</t>
  </si>
  <si>
    <t>0.261118</t>
  </si>
  <si>
    <t>0.257774</t>
  </si>
  <si>
    <t>0.010890</t>
  </si>
  <si>
    <t>[0.244644 - 0.296006]</t>
  </si>
  <si>
    <t>~ 1,64x</t>
  </si>
  <si>
    <t>~ 3,69x</t>
  </si>
  <si>
    <t>Accélération (ratio)</t>
  </si>
  <si>
    <t>2.10066</t>
  </si>
  <si>
    <t>1.92686</t>
  </si>
  <si>
    <t>0.93893</t>
  </si>
  <si>
    <t>[1.88512 - 7.06963]</t>
  </si>
  <si>
    <t>3.25041</t>
  </si>
  <si>
    <t>3.24169</t>
  </si>
  <si>
    <t>0.0291801</t>
  </si>
  <si>
    <t>[3.20817 - 3.32661]</t>
  </si>
  <si>
    <t>~ 1,54x</t>
  </si>
  <si>
    <t>Pas assez de RAM.</t>
  </si>
  <si>
    <t>Environnement matériel et logiciel</t>
  </si>
  <si>
    <t>CPU</t>
  </si>
  <si>
    <t>RAM</t>
  </si>
  <si>
    <t>OS</t>
  </si>
  <si>
    <t>Windows 11</t>
  </si>
  <si>
    <t>Compilateur</t>
  </si>
  <si>
    <t>Visual Studio avec les optimisations Release activées</t>
  </si>
  <si>
    <t>Trop de temps et pas assez de ram.</t>
  </si>
  <si>
    <t>16 Go DDR4 @ 3200 MHZ</t>
  </si>
  <si>
    <t>AMD Ryzen 7 3700X (3.6 GHz)</t>
  </si>
  <si>
    <t>Dataset</t>
  </si>
  <si>
    <t>3.20817, 3.21208, 3.21901, 3.22075, 3.22388, 3.22417, 3.22427, 3.23364, 3.23424, 3.23466, 3.23816, 3.24083, 3. 24092, 3.24108, 3.24148, 3.2419, 3.24321, 3.24797, 3.25142, 3.25478, 3.25483, 3.26278, 3.26592, 3.26902, 3.27741, 3.2828 5, 3.28549, 3.29068, 3.32012, 3.32661</t>
  </si>
  <si>
    <t>1.88512, 1.8875, 1.899, 1.89999, 1.90619, 1.90681, 1.90703, 1.91093, 1.9111, 1.91349, 1.91492, 1.91665, 1.9207 8, 1.92501, 1.92653, 1.92719, 1.93065, 1.933, 1.9345, 1.936, 1.93622, 1.93728, 1.94318, 1.94801, 1.95621, 1.9633, 1.9725 7, 1.978, 2.02296, 7.06963</t>
  </si>
  <si>
    <t>0.1733, 0.1592, 0.1586, 0.1571, 0.1564, 0.1606, 0.1575, 0.1595, 0.1584, 0.1607, 0.1575, 0.1598, 0.1600, 0.1570
, 0.1602, 0.1607, 0.1620, 0.1605, 0.1578, 0.1593, 0.1592, 0.1571, 0.1589, 0.1583, 0.1590, 0.1569, 0.1566, 0.1592, 0.1572
, 0.1593</t>
  </si>
  <si>
    <t>0.2682, 0.2960, 0.2724, 0.2632, 0.2745, 0.2490, 0.2521, 0.2569, 0.2773, 0.2564, 0.2602, 0.2638, 0.2547, 0.2597 , 0.2548, 0.2537, 0.2667, 0.2552, 0.2583, 0.2516, 0.2572, 0.2533, 0.2560, 0.2585, 0.2598, 0.2501, 0.2791, 0.2740, 0.2446 , 0.2561</t>
  </si>
  <si>
    <t>0.0724, 0.0690, 0.0722, 0.0746, 0.0706, 0.0661, 0.0796, 0.0719, 0.0686, 0.0692, 0.0704, 0.0713, 0.0683, 0.0723 , 0.0685, 0.0689, 0.0739, 0.0688, 0.0756, 0.0681, 0.0716, 0.0739, 0.0677, 0.0727, 0.0718, 0.0691, 0.0715, 0.0705, 0.0668 , 0.0669</t>
  </si>
  <si>
    <t>On voit clairement que le passage de l'Exhaustif au Fondamental réduit non seulement le temps moyen, mais aussi la dispersion des résultats.</t>
  </si>
  <si>
    <r>
      <t xml:space="preserve">Le "Fondamental" est environ </t>
    </r>
    <r>
      <rPr>
        <b/>
        <sz val="11"/>
        <color theme="1"/>
        <rFont val="Aptos Narrow"/>
        <family val="2"/>
        <scheme val="minor"/>
      </rPr>
      <t>3,7x</t>
    </r>
    <r>
      <rPr>
        <sz val="11"/>
        <color theme="1"/>
        <rFont val="Aptos Narrow"/>
        <family val="2"/>
        <scheme val="minor"/>
      </rPr>
      <t xml:space="preserve"> plus rapide que l'Exhaustif.</t>
    </r>
  </si>
  <si>
    <t>Puisque les temps passent de 0,07s à 57s, on va d'utiliser une échelle logarithmique pour que le Feistel 12 reste visible à côté du Speck 32.</t>
  </si>
  <si>
    <r>
      <t>Feistel 12 :</t>
    </r>
    <r>
      <rPr>
        <sz val="11"/>
        <color theme="1"/>
        <rFont val="Aptos Narrow"/>
        <family val="2"/>
        <scheme val="minor"/>
      </rPr>
      <t xml:space="preserve"> Une boîte très basse et compacte (stabilité parfaite).</t>
    </r>
  </si>
  <si>
    <r>
      <t>SPN 16 :</t>
    </r>
    <r>
      <rPr>
        <sz val="11"/>
        <color theme="1"/>
        <rFont val="Aptos Narrow"/>
        <family val="2"/>
        <scheme val="minor"/>
      </rPr>
      <t xml:space="preserve"> Une boîte très serrée vers 1,9s, mais avec un point isolé (outlier) à 7s.</t>
    </r>
  </si>
  <si>
    <r>
      <t>Speck 32 :</t>
    </r>
    <r>
      <rPr>
        <sz val="11"/>
        <color theme="1"/>
        <rFont val="Aptos Narrow"/>
        <family val="2"/>
        <scheme val="minor"/>
      </rPr>
      <t xml:space="preserve"> Une boîte beaucoup plus large (entre 50s et 72s).</t>
    </r>
  </si>
  <si>
    <t>10503.3172</t>
  </si>
  <si>
    <t>Performances de recherche différentielle (Cible : Speck32/64, 3 tours, p = 2^-3)</t>
  </si>
  <si>
    <t>10503.3172 avec 8430 résultats</t>
  </si>
  <si>
    <t>1.92815</t>
  </si>
  <si>
    <t>1.92529</t>
  </si>
  <si>
    <t>0.0442389</t>
  </si>
  <si>
    <t>[1.86193 - 2.11437]</t>
  </si>
  <si>
    <t>~ 5447.36x</t>
  </si>
  <si>
    <t>1.86193, 1.87939, 1.88251, 1.88547, 1.89177, 1.89444, 1.90384, 1.90467, 1.90606, 1.90878, 1.91565, 1.916, 1.91 664, 1.92222, 1.92286, 1.92773, 1.92797, 1.9284, 1.93141, 1.93276, 1.93784, 1.9399, 1.94341, 1.94391, 1.95102, 1.95239, 1.96413, 1.96533, 1.97187, 2.11437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</si>
</sst>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31</xdr:row>
      <xdr:rowOff>114300</xdr:rowOff>
    </xdr:from>
    <xdr:to>
      <xdr:col>5</xdr:col>
      <xdr:colOff>638175</xdr:colOff>
      <xdr:row>56</xdr:row>
      <xdr:rowOff>123825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426A3F9-E616-4A2E-3EA2-34534F79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734175"/>
          <a:ext cx="6362700" cy="477202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60</xdr:row>
      <xdr:rowOff>104775</xdr:rowOff>
    </xdr:from>
    <xdr:to>
      <xdr:col>6</xdr:col>
      <xdr:colOff>50800</xdr:colOff>
      <xdr:row>86</xdr:row>
      <xdr:rowOff>133350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79B70EB-05E1-AC00-480B-EC80F3F50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" y="12249150"/>
          <a:ext cx="6642100" cy="4981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8</xdr:col>
      <xdr:colOff>2571750</xdr:colOff>
      <xdr:row>112</xdr:row>
      <xdr:rowOff>76200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118E70BE-206E-754C-CF24-238B8924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18049875"/>
          <a:ext cx="12230100" cy="4076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462506-0384-4A99-82F9-DB6B95CFAACB}" name="Tableau3" displayName="Tableau3" ref="A2:G5" totalsRowShown="0" headerRowDxfId="26" dataDxfId="25">
  <autoFilter ref="A2:G5" xr:uid="{DC462506-0384-4A99-82F9-DB6B95CFAACB}"/>
  <tableColumns count="7">
    <tableColumn id="1" xr3:uid="{DBB0E92C-F617-453C-BED9-4B856C5542FB}" name="Algorithme" dataDxfId="24"/>
    <tableColumn id="2" xr3:uid="{8F0C7C46-225B-4F4C-848B-32C95508D465}" name="Complexité" dataDxfId="23"/>
    <tableColumn id="3" xr3:uid="{69C5292E-8CEC-48AC-8F8C-EF626C109BEB}" name="Moyenne (s)" dataDxfId="22"/>
    <tableColumn id="4" xr3:uid="{5DF6915C-0B33-4C1A-851F-D4DFDCFF5CC6}" name="Médiane (s)" dataDxfId="21"/>
    <tableColumn id="5" xr3:uid="{5C85C24C-CE54-4026-9B2A-CEB833BCB698}" name="Écart-type" dataDxfId="20"/>
    <tableColumn id="6" xr3:uid="{AB235B21-130D-4FDF-A45D-F819AF67195D}" name="Min-max (s)" dataDxfId="19"/>
    <tableColumn id="7" xr3:uid="{F0CCE468-A6D0-42EC-A5A9-5439A7C0B6FD}" name="Accélération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7B30D5-E881-4B18-B58A-F12EAF5E9ACB}" name="Tableau35" displayName="Tableau35" ref="A11:G14" totalsRowShown="0" headerRowDxfId="17" dataDxfId="16">
  <autoFilter ref="A11:G14" xr:uid="{247B30D5-E881-4B18-B58A-F12EAF5E9ACB}"/>
  <tableColumns count="7">
    <tableColumn id="1" xr3:uid="{72D7BC9E-50AE-47AB-85EE-F8FDEE59344F}" name="Algorithme" dataDxfId="15"/>
    <tableColumn id="2" xr3:uid="{76340CEC-3862-442D-9C77-302390426A01}" name="Complexité" dataDxfId="14"/>
    <tableColumn id="3" xr3:uid="{85D554A6-4B49-4661-9770-4AC1BDB07E0D}" name="Moyenne (s)" dataDxfId="13"/>
    <tableColumn id="4" xr3:uid="{380986BC-2EF1-40E4-BD18-A9D7F63CFB60}" name="Médiane (s)" dataDxfId="12"/>
    <tableColumn id="5" xr3:uid="{9AAC2D6D-D1DB-40CC-9BDE-C9600DD35CAA}" name="Écart-type" dataDxfId="11"/>
    <tableColumn id="6" xr3:uid="{2FADBE66-4E2A-4F6C-9D35-843CE6E56E1E}" name="Min-max (s)" dataDxfId="10"/>
    <tableColumn id="7" xr3:uid="{E6CE0F87-D4E5-4E3B-A15E-AF81F50FB75D}" name="Accélération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EA6371-2C14-41B8-AD89-C283EDAEFAC8}" name="Tableau356" displayName="Tableau356" ref="A20:G23" totalsRowShown="0" headerRowDxfId="8" dataDxfId="7">
  <autoFilter ref="A20:G23" xr:uid="{E8EA6371-2C14-41B8-AD89-C283EDAEFAC8}"/>
  <tableColumns count="7">
    <tableColumn id="1" xr3:uid="{C9ED498A-CF69-4751-8ECC-E67B7CF4C233}" name="Algorithme" dataDxfId="6"/>
    <tableColumn id="2" xr3:uid="{F21D9668-1469-44B7-9343-9BFC6DD2BD2D}" name="Complexité" dataDxfId="5"/>
    <tableColumn id="3" xr3:uid="{13A306FC-0F6D-46D6-90CF-0C09FDE01B9F}" name="Moyenne (s)" dataDxfId="4"/>
    <tableColumn id="4" xr3:uid="{DF070F29-D587-4E54-A633-6DC96F1489F1}" name="Médiane (s)" dataDxfId="3"/>
    <tableColumn id="5" xr3:uid="{7070CED2-DEFA-4923-A18A-060D96FB90A6}" name="Écart-type" dataDxfId="2"/>
    <tableColumn id="6" xr3:uid="{74E7483B-FCA3-43CE-9B39-7009FBEFEE2C}" name="Min-max (s)" dataDxfId="1"/>
    <tableColumn id="7" xr3:uid="{A08311AC-F4B3-492E-AA9D-07EDF22CE2EC}" name="Accélération (ratio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8055-F86D-4134-A8E1-A4E9C8A313DA}">
  <dimension ref="A1:I117"/>
  <sheetViews>
    <sheetView tabSelected="1" workbookViewId="0">
      <selection activeCell="G31" sqref="G31"/>
    </sheetView>
  </sheetViews>
  <sheetFormatPr baseColWidth="10" defaultRowHeight="15" x14ac:dyDescent="0.25"/>
  <cols>
    <col min="1" max="1" width="19.42578125" customWidth="1"/>
    <col min="2" max="2" width="20.85546875" bestFit="1" customWidth="1"/>
    <col min="3" max="3" width="19.5703125" bestFit="1" customWidth="1"/>
    <col min="4" max="4" width="19" bestFit="1" customWidth="1"/>
    <col min="5" max="5" width="17.28515625" bestFit="1" customWidth="1"/>
    <col min="6" max="6" width="27.140625" bestFit="1" customWidth="1"/>
    <col min="7" max="7" width="27.7109375" bestFit="1" customWidth="1"/>
    <col min="8" max="8" width="13.28515625" bestFit="1" customWidth="1"/>
    <col min="9" max="9" width="97.5703125" customWidth="1"/>
  </cols>
  <sheetData>
    <row r="1" spans="1:9" ht="18.75" x14ac:dyDescent="0.3">
      <c r="A1" s="1" t="s">
        <v>65</v>
      </c>
    </row>
    <row r="2" spans="1:9" ht="18.75" x14ac:dyDescent="0.3">
      <c r="A2" s="2" t="s">
        <v>2</v>
      </c>
      <c r="B2" s="2" t="s">
        <v>1</v>
      </c>
      <c r="C2" s="2" t="s">
        <v>11</v>
      </c>
      <c r="D2" s="2" t="s">
        <v>10</v>
      </c>
      <c r="E2" s="2" t="s">
        <v>0</v>
      </c>
      <c r="F2" s="2" t="s">
        <v>14</v>
      </c>
      <c r="G2" s="2" t="s">
        <v>9</v>
      </c>
      <c r="I2" s="3" t="s">
        <v>52</v>
      </c>
    </row>
    <row r="3" spans="1:9" ht="18.75" x14ac:dyDescent="0.3">
      <c r="A3" s="2" t="s">
        <v>6</v>
      </c>
      <c r="B3" s="2" t="s">
        <v>5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I3" t="s">
        <v>49</v>
      </c>
    </row>
    <row r="4" spans="1:9" ht="18.75" x14ac:dyDescent="0.3">
      <c r="A4" s="2" t="s">
        <v>4</v>
      </c>
      <c r="B4" s="2" t="s">
        <v>7</v>
      </c>
      <c r="C4" s="2" t="s">
        <v>64</v>
      </c>
      <c r="D4" s="2" t="s">
        <v>64</v>
      </c>
      <c r="E4" s="2">
        <v>0</v>
      </c>
      <c r="F4" s="2" t="s">
        <v>64</v>
      </c>
      <c r="G4" s="2" t="s">
        <v>12</v>
      </c>
      <c r="I4" t="s">
        <v>66</v>
      </c>
    </row>
    <row r="5" spans="1:9" ht="18.75" x14ac:dyDescent="0.3">
      <c r="A5" s="2" t="s">
        <v>3</v>
      </c>
      <c r="B5" s="2" t="s">
        <v>8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71</v>
      </c>
      <c r="I5" t="s">
        <v>72</v>
      </c>
    </row>
    <row r="7" spans="1:9" x14ac:dyDescent="0.25">
      <c r="A7" s="3"/>
    </row>
    <row r="10" spans="1:9" ht="18.75" x14ac:dyDescent="0.3">
      <c r="A10" s="1" t="s">
        <v>15</v>
      </c>
    </row>
    <row r="11" spans="1:9" ht="18.75" x14ac:dyDescent="0.3">
      <c r="A11" s="2" t="s">
        <v>2</v>
      </c>
      <c r="B11" s="2" t="s">
        <v>1</v>
      </c>
      <c r="C11" s="2" t="s">
        <v>11</v>
      </c>
      <c r="D11" s="2" t="s">
        <v>10</v>
      </c>
      <c r="E11" s="2" t="s">
        <v>0</v>
      </c>
      <c r="F11" s="2" t="s">
        <v>14</v>
      </c>
      <c r="G11" s="2" t="s">
        <v>9</v>
      </c>
    </row>
    <row r="12" spans="1:9" ht="18.75" x14ac:dyDescent="0.3">
      <c r="A12" s="2" t="s">
        <v>6</v>
      </c>
      <c r="B12" s="2" t="s">
        <v>5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I12" t="s">
        <v>41</v>
      </c>
    </row>
    <row r="13" spans="1:9" ht="18.75" x14ac:dyDescent="0.3">
      <c r="A13" s="2" t="s">
        <v>4</v>
      </c>
      <c r="B13" s="2" t="s">
        <v>7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12</v>
      </c>
      <c r="I13" t="s">
        <v>53</v>
      </c>
    </row>
    <row r="14" spans="1:9" ht="18.75" x14ac:dyDescent="0.3">
      <c r="A14" s="2" t="s">
        <v>3</v>
      </c>
      <c r="B14" s="2" t="s">
        <v>8</v>
      </c>
      <c r="C14" s="2" t="s">
        <v>32</v>
      </c>
      <c r="D14" s="2" t="s">
        <v>33</v>
      </c>
      <c r="E14" s="2" t="s">
        <v>34</v>
      </c>
      <c r="F14" s="2" t="s">
        <v>35</v>
      </c>
      <c r="G14" s="2" t="s">
        <v>40</v>
      </c>
      <c r="I14" t="s">
        <v>54</v>
      </c>
    </row>
    <row r="19" spans="1:9" ht="18.75" x14ac:dyDescent="0.3">
      <c r="A19" s="1" t="s">
        <v>16</v>
      </c>
    </row>
    <row r="20" spans="1:9" ht="18.75" x14ac:dyDescent="0.25">
      <c r="A20" s="4" t="s">
        <v>2</v>
      </c>
      <c r="B20" s="4" t="s">
        <v>1</v>
      </c>
      <c r="C20" s="4" t="s">
        <v>11</v>
      </c>
      <c r="D20" s="4" t="s">
        <v>10</v>
      </c>
      <c r="E20" s="4" t="s">
        <v>0</v>
      </c>
      <c r="F20" s="4" t="s">
        <v>14</v>
      </c>
      <c r="G20" s="4" t="s">
        <v>31</v>
      </c>
    </row>
    <row r="21" spans="1:9" ht="18.75" x14ac:dyDescent="0.25">
      <c r="A21" s="4" t="s">
        <v>6</v>
      </c>
      <c r="B21" s="4" t="s">
        <v>5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12</v>
      </c>
      <c r="I21" t="s">
        <v>56</v>
      </c>
    </row>
    <row r="22" spans="1:9" ht="18.75" x14ac:dyDescent="0.25">
      <c r="A22" s="4" t="s">
        <v>4</v>
      </c>
      <c r="B22" s="4" t="s">
        <v>7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29</v>
      </c>
      <c r="I22" t="s">
        <v>55</v>
      </c>
    </row>
    <row r="23" spans="1:9" ht="18.75" x14ac:dyDescent="0.25">
      <c r="A23" s="4" t="s">
        <v>3</v>
      </c>
      <c r="B23" s="4" t="s">
        <v>8</v>
      </c>
      <c r="C23" s="4" t="s">
        <v>17</v>
      </c>
      <c r="D23" s="4" t="s">
        <v>18</v>
      </c>
      <c r="E23" s="4" t="s">
        <v>19</v>
      </c>
      <c r="F23" s="4" t="s">
        <v>20</v>
      </c>
      <c r="G23" s="4" t="s">
        <v>30</v>
      </c>
      <c r="I23" t="s">
        <v>57</v>
      </c>
    </row>
    <row r="28" spans="1:9" x14ac:dyDescent="0.25">
      <c r="A28" s="5" t="s">
        <v>42</v>
      </c>
    </row>
    <row r="29" spans="1:9" x14ac:dyDescent="0.25">
      <c r="A29" t="s">
        <v>43</v>
      </c>
      <c r="B29" t="s">
        <v>51</v>
      </c>
    </row>
    <row r="30" spans="1:9" x14ac:dyDescent="0.25">
      <c r="A30" t="s">
        <v>44</v>
      </c>
      <c r="B30" t="s">
        <v>50</v>
      </c>
    </row>
    <row r="31" spans="1:9" x14ac:dyDescent="0.25">
      <c r="A31" t="s">
        <v>45</v>
      </c>
      <c r="B31" t="s">
        <v>46</v>
      </c>
    </row>
    <row r="32" spans="1:9" x14ac:dyDescent="0.25">
      <c r="A32" t="s">
        <v>47</v>
      </c>
      <c r="B32" t="s">
        <v>48</v>
      </c>
    </row>
    <row r="59" spans="1:1" x14ac:dyDescent="0.25">
      <c r="A59" t="s">
        <v>58</v>
      </c>
    </row>
    <row r="60" spans="1:1" x14ac:dyDescent="0.25">
      <c r="A60" t="s">
        <v>59</v>
      </c>
    </row>
    <row r="88" spans="2:2" x14ac:dyDescent="0.25">
      <c r="B88" t="s">
        <v>60</v>
      </c>
    </row>
    <row r="115" spans="2:2" x14ac:dyDescent="0.25">
      <c r="B115" s="5" t="s">
        <v>61</v>
      </c>
    </row>
    <row r="116" spans="2:2" x14ac:dyDescent="0.25">
      <c r="B116" s="5" t="s">
        <v>62</v>
      </c>
    </row>
    <row r="117" spans="2:2" x14ac:dyDescent="0.25">
      <c r="B117" s="5" t="s">
        <v>63</v>
      </c>
    </row>
  </sheetData>
  <conditionalFormatting sqref="A2:G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:G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G21 A23:G23 A22:F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François</dc:creator>
  <cp:lastModifiedBy>Alexandre François</cp:lastModifiedBy>
  <dcterms:created xsi:type="dcterms:W3CDTF">2026-02-24T19:47:11Z</dcterms:created>
  <dcterms:modified xsi:type="dcterms:W3CDTF">2026-03-04T16:34:13Z</dcterms:modified>
</cp:coreProperties>
</file>